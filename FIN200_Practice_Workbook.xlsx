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Instructions" sheetId="1" state="visible" r:id="rId1"/>
    <sheet name="Ch2 — Time Value" sheetId="2" state="visible" r:id="rId2"/>
    <sheet name="Ch3 — Annuities &amp; Loans" sheetId="3" state="visible" r:id="rId3"/>
    <sheet name="Ch4 — Bonds" sheetId="4" state="visible" r:id="rId4"/>
    <sheet name="Ch5 — Stocks" sheetId="5" state="visible" r:id="rId5"/>
    <sheet name="🏆 Answer Ke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F58DA"/>
      <sz val="11"/>
    </font>
    <font>
      <name val="Arial"/>
      <color rgb="00444444"/>
      <sz val="10"/>
    </font>
    <font>
      <name val="Arial"/>
      <color rgb="00222222"/>
      <sz val="10"/>
    </font>
    <font>
      <name val="Arial"/>
      <b val="1"/>
      <color rgb="005F58DA"/>
      <sz val="11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555555"/>
      <sz val="9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b val="1"/>
      <color rgb="001F8F5F"/>
      <sz val="10"/>
    </font>
    <font>
      <name val="Arial"/>
      <color rgb="00555555"/>
      <sz val="10"/>
    </font>
  </fonts>
  <fills count="16">
    <fill>
      <patternFill/>
    </fill>
    <fill>
      <patternFill patternType="gray125"/>
    </fill>
    <fill>
      <patternFill patternType="solid">
        <fgColor rgb="005F58DA"/>
      </patternFill>
    </fill>
    <fill>
      <patternFill patternType="solid">
        <fgColor rgb="00EFEDFF"/>
      </patternFill>
    </fill>
    <fill>
      <patternFill patternType="solid">
        <fgColor rgb="00454B8A"/>
      </patternFill>
    </fill>
    <fill>
      <patternFill patternType="solid">
        <fgColor rgb="00F4F6FF"/>
      </patternFill>
    </fill>
    <fill>
      <patternFill patternType="solid">
        <fgColor rgb="00FFF8D6"/>
      </patternFill>
    </fill>
    <fill>
      <patternFill patternType="solid">
        <fgColor rgb="001F8F5F"/>
      </patternFill>
    </fill>
    <fill>
      <patternFill patternType="solid">
        <fgColor rgb="002E7D52"/>
      </patternFill>
    </fill>
    <fill>
      <patternFill patternType="solid">
        <fgColor rgb="00D4F5E2"/>
      </patternFill>
    </fill>
    <fill>
      <patternFill patternType="solid">
        <fgColor rgb="00B07D00"/>
      </patternFill>
    </fill>
    <fill>
      <patternFill patternType="solid">
        <fgColor rgb="008B6200"/>
      </patternFill>
    </fill>
    <fill>
      <patternFill patternType="solid">
        <fgColor rgb="00C0392B"/>
      </patternFill>
    </fill>
    <fill>
      <patternFill patternType="solid">
        <fgColor rgb="008B1A1A"/>
      </patternFill>
    </fill>
    <fill>
      <patternFill patternType="solid">
        <fgColor rgb="00FFE5E5"/>
      </patternFill>
    </fill>
    <fill>
      <patternFill patternType="solid">
        <fgColor rgb="0023263A"/>
      </patternFill>
    </fill>
  </fills>
  <borders count="2">
    <border>
      <left/>
      <right/>
      <top/>
      <bottom/>
      <diagonal/>
    </border>
    <border>
      <left style="thin">
        <color rgb="00D0D4F0"/>
      </left>
      <right style="thin">
        <color rgb="00D0D4F0"/>
      </right>
      <top style="thin">
        <color rgb="00D0D4F0"/>
      </top>
      <bottom style="thin">
        <color rgb="00D0D4F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/>
    </xf>
    <xf numFmtId="0" fontId="12" fillId="0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/>
    </xf>
    <xf numFmtId="0" fontId="6" fillId="10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/>
    </xf>
    <xf numFmtId="0" fontId="6" fillId="12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left"/>
    </xf>
    <xf numFmtId="0" fontId="13" fillId="15" borderId="0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/>
    </xf>
    <xf numFmtId="0" fontId="1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30" customWidth="1" min="3" max="3"/>
  </cols>
  <sheetData>
    <row r="2" ht="38" customHeight="1">
      <c r="B2" s="1" t="inlineStr">
        <is>
          <t>FIN 200 — Practice Workbook | كتيّب التدريب</t>
        </is>
      </c>
    </row>
    <row r="3" ht="20" customHeight="1">
      <c r="B3" s="2" t="inlineStr">
        <is>
          <t>Chapters 2 · 3 · 4 · 5   —   Like your actual exam spreadsheet!</t>
        </is>
      </c>
    </row>
    <row r="5" ht="18" customHeight="1">
      <c r="B5" s="3" t="inlineStr"/>
      <c r="C5" s="4" t="inlineStr"/>
    </row>
    <row r="6" ht="18" customHeight="1">
      <c r="B6" s="5" t="inlineStr">
        <is>
          <t>📌 How to Use</t>
        </is>
      </c>
    </row>
    <row r="7" ht="18" customHeight="1">
      <c r="B7" s="3" t="inlineStr">
        <is>
          <t>1</t>
        </is>
      </c>
      <c r="C7" s="4" t="inlineStr">
        <is>
          <t>Open any Chapter sheet (Ch2, Ch3, Ch4, Ch5)</t>
        </is>
      </c>
    </row>
    <row r="8" ht="18" customHeight="1">
      <c r="B8" s="3" t="inlineStr">
        <is>
          <t>2</t>
        </is>
      </c>
      <c r="C8" s="4" t="inlineStr">
        <is>
          <t>Read each question carefully</t>
        </is>
      </c>
    </row>
    <row r="9" ht="18" customHeight="1">
      <c r="B9" s="3" t="inlineStr">
        <is>
          <t>3</t>
        </is>
      </c>
      <c r="C9" s="4" t="inlineStr">
        <is>
          <t>Type your answer in the YELLOW cell</t>
        </is>
      </c>
    </row>
    <row r="10" ht="18" customHeight="1">
      <c r="B10" s="3" t="inlineStr">
        <is>
          <t>4</t>
        </is>
      </c>
      <c r="C10" s="4" t="inlineStr">
        <is>
          <t>The Result column shows ✅ Correct or ❌ Try Again</t>
        </is>
      </c>
    </row>
    <row r="11" ht="18" customHeight="1">
      <c r="B11" s="3" t="inlineStr">
        <is>
          <t>5</t>
        </is>
      </c>
      <c r="C11" s="4" t="inlineStr">
        <is>
          <t>Check 🏆 Answer Key sheet for solutions</t>
        </is>
      </c>
    </row>
    <row r="12" ht="18" customHeight="1">
      <c r="B12" s="3" t="inlineStr"/>
      <c r="C12" s="4" t="inlineStr"/>
    </row>
    <row r="13" ht="18" customHeight="1">
      <c r="B13" s="5" t="inlineStr">
        <is>
          <t>🎨 Color Guide</t>
        </is>
      </c>
    </row>
    <row r="14" ht="18" customHeight="1">
      <c r="B14" s="3" t="inlineStr">
        <is>
          <t>🟡 Yellow</t>
        </is>
      </c>
      <c r="C14" s="4" t="inlineStr">
        <is>
          <t>Your answer goes here</t>
        </is>
      </c>
    </row>
    <row r="15" ht="18" customHeight="1">
      <c r="B15" s="3" t="inlineStr">
        <is>
          <t>🟢 Green result</t>
        </is>
      </c>
      <c r="C15" s="4" t="inlineStr">
        <is>
          <t>Correct!</t>
        </is>
      </c>
    </row>
    <row r="16" ht="18" customHeight="1">
      <c r="B16" s="3" t="inlineStr">
        <is>
          <t>⬜ White/Gray</t>
        </is>
      </c>
      <c r="C16" s="4" t="inlineStr">
        <is>
          <t>Given data</t>
        </is>
      </c>
    </row>
    <row r="17" ht="18" customHeight="1">
      <c r="B17" s="3" t="inlineStr"/>
      <c r="C17" s="4" t="inlineStr"/>
    </row>
    <row r="18" ht="18" customHeight="1">
      <c r="B18" s="5" t="inlineStr">
        <is>
          <t>📚 Sheets</t>
        </is>
      </c>
    </row>
    <row r="19" ht="18" customHeight="1">
      <c r="B19" s="3" t="inlineStr">
        <is>
          <t>Ch2</t>
        </is>
      </c>
      <c r="C19" s="4" t="inlineStr">
        <is>
          <t>Time Value of Money</t>
        </is>
      </c>
    </row>
    <row r="20" ht="18" customHeight="1">
      <c r="B20" s="3" t="inlineStr">
        <is>
          <t>Ch3</t>
        </is>
      </c>
      <c r="C20" s="4" t="inlineStr">
        <is>
          <t>Annuities &amp; Loans</t>
        </is>
      </c>
    </row>
    <row r="21" ht="18" customHeight="1">
      <c r="B21" s="3" t="inlineStr">
        <is>
          <t>Ch4</t>
        </is>
      </c>
      <c r="C21" s="4" t="inlineStr">
        <is>
          <t>Bonds</t>
        </is>
      </c>
    </row>
    <row r="22" ht="18" customHeight="1">
      <c r="B22" s="3" t="inlineStr">
        <is>
          <t>Ch5</t>
        </is>
      </c>
      <c r="C22" s="4" t="inlineStr">
        <is>
          <t>Stocks</t>
        </is>
      </c>
    </row>
    <row r="23" ht="18" customHeight="1">
      <c r="B23" s="3" t="inlineStr">
        <is>
          <t>🏆 Answer Key</t>
        </is>
      </c>
      <c r="C23" s="4" t="inlineStr">
        <is>
          <t>Full solutions</t>
        </is>
      </c>
    </row>
  </sheetData>
  <mergeCells count="5">
    <mergeCell ref="B13:C13"/>
    <mergeCell ref="B6:C6"/>
    <mergeCell ref="B2:C2"/>
    <mergeCell ref="B3:C3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4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</cols>
  <sheetData>
    <row r="1" ht="32" customHeight="1">
      <c r="B1" s="6" t="inlineStr">
        <is>
          <t>Chapter 2: Time Value of Money | القيمة الزمنية للنقود</t>
        </is>
      </c>
    </row>
    <row r="3" ht="22" customHeight="1">
      <c r="B3" s="7" t="inlineStr">
        <is>
          <t>📐 Calculation Problems</t>
        </is>
      </c>
    </row>
    <row r="4" ht="20" customHeight="1">
      <c r="B4" s="8" t="inlineStr">
        <is>
          <t>#</t>
        </is>
      </c>
      <c r="C4" s="8" t="inlineStr">
        <is>
          <t>Question</t>
        </is>
      </c>
      <c r="D4" s="8" t="inlineStr">
        <is>
          <t>PV ($)</t>
        </is>
      </c>
      <c r="E4" s="8" t="inlineStr">
        <is>
          <t>Rate (%)</t>
        </is>
      </c>
      <c r="F4" s="8" t="inlineStr">
        <is>
          <t>n (periods)</t>
        </is>
      </c>
      <c r="G4" s="8" t="inlineStr">
        <is>
          <t>FV ($)</t>
        </is>
      </c>
      <c r="H4" s="8" t="inlineStr">
        <is>
          <t>Your Answer</t>
        </is>
      </c>
    </row>
    <row r="5" ht="20" customHeight="1">
      <c r="B5" s="9" t="n">
        <v>1</v>
      </c>
      <c r="C5" s="10" t="inlineStr">
        <is>
          <t>FV: Invest $1,000 at 8% for 5 years → FV=?</t>
        </is>
      </c>
      <c r="D5" s="11" t="n">
        <v>1000</v>
      </c>
      <c r="E5" s="11" t="n">
        <v>8</v>
      </c>
      <c r="F5" s="11" t="n">
        <v>5</v>
      </c>
      <c r="G5" s="11" t="inlineStr">
        <is>
          <t>—</t>
        </is>
      </c>
      <c r="H5" s="12" t="n"/>
    </row>
    <row r="6" ht="20" customHeight="1">
      <c r="B6" s="9" t="n">
        <v>2</v>
      </c>
      <c r="C6" s="10" t="inlineStr">
        <is>
          <t>FV: Invest $2,500 at 6% for 10 years → FV=?</t>
        </is>
      </c>
      <c r="D6" s="11" t="n">
        <v>2500</v>
      </c>
      <c r="E6" s="11" t="n">
        <v>6</v>
      </c>
      <c r="F6" s="11" t="n">
        <v>10</v>
      </c>
      <c r="G6" s="11" t="inlineStr">
        <is>
          <t>—</t>
        </is>
      </c>
      <c r="H6" s="12" t="n"/>
    </row>
    <row r="7" ht="20" customHeight="1">
      <c r="B7" s="9" t="n">
        <v>3</v>
      </c>
      <c r="C7" s="10" t="inlineStr">
        <is>
          <t>PV: Want $5,000 in 4 years, r=10% → PV=?</t>
        </is>
      </c>
      <c r="D7" s="11" t="inlineStr">
        <is>
          <t>—</t>
        </is>
      </c>
      <c r="E7" s="11" t="n">
        <v>10</v>
      </c>
      <c r="F7" s="11" t="n">
        <v>4</v>
      </c>
      <c r="G7" s="11" t="n">
        <v>5000</v>
      </c>
      <c r="H7" s="12" t="n"/>
    </row>
    <row r="8" ht="20" customHeight="1">
      <c r="B8" s="9" t="n">
        <v>4</v>
      </c>
      <c r="C8" s="10" t="inlineStr">
        <is>
          <t>PV: Want $8,000 in 6 years, r=7% → PV=?</t>
        </is>
      </c>
      <c r="D8" s="11" t="inlineStr">
        <is>
          <t>—</t>
        </is>
      </c>
      <c r="E8" s="11" t="n">
        <v>7</v>
      </c>
      <c r="F8" s="11" t="n">
        <v>6</v>
      </c>
      <c r="G8" s="11" t="n">
        <v>8000</v>
      </c>
      <c r="H8" s="12" t="n"/>
    </row>
    <row r="9" ht="20" customHeight="1">
      <c r="B9" s="9" t="n">
        <v>5</v>
      </c>
      <c r="C9" s="10" t="inlineStr">
        <is>
          <t>RATE: PV=$1,000, FV=$1,331, n=3 → Rate=?</t>
        </is>
      </c>
      <c r="D9" s="11" t="n">
        <v>1000</v>
      </c>
      <c r="E9" s="11" t="inlineStr">
        <is>
          <t>—</t>
        </is>
      </c>
      <c r="F9" s="11" t="n">
        <v>3</v>
      </c>
      <c r="G9" s="11" t="n">
        <v>1331</v>
      </c>
      <c r="H9" s="12" t="n"/>
    </row>
    <row r="10" ht="20" customHeight="1">
      <c r="B10" s="9" t="n">
        <v>6</v>
      </c>
      <c r="C10" s="10" t="inlineStr">
        <is>
          <t>RATE: PV=$500, FV=$800, n=5 → Rate=?</t>
        </is>
      </c>
      <c r="D10" s="11" t="n">
        <v>500</v>
      </c>
      <c r="E10" s="11" t="inlineStr">
        <is>
          <t>—</t>
        </is>
      </c>
      <c r="F10" s="11" t="n">
        <v>5</v>
      </c>
      <c r="G10" s="11" t="n">
        <v>800</v>
      </c>
      <c r="H10" s="12" t="n"/>
    </row>
    <row r="11" ht="20" customHeight="1">
      <c r="B11" s="9" t="n">
        <v>7</v>
      </c>
      <c r="C11" s="10" t="inlineStr">
        <is>
          <t>NPER: PV=$1,000, FV=$2,000, r=10% → n=?</t>
        </is>
      </c>
      <c r="D11" s="11" t="n">
        <v>1000</v>
      </c>
      <c r="E11" s="11" t="n">
        <v>10</v>
      </c>
      <c r="F11" s="11" t="inlineStr">
        <is>
          <t>—</t>
        </is>
      </c>
      <c r="G11" s="11" t="n">
        <v>2000</v>
      </c>
      <c r="H11" s="12" t="n"/>
    </row>
    <row r="12" ht="20" customHeight="1">
      <c r="B12" s="9" t="n">
        <v>8</v>
      </c>
      <c r="C12" s="10" t="inlineStr">
        <is>
          <t>NPER: PV=$3,000, FV=$6,000, r=8% → n=?</t>
        </is>
      </c>
      <c r="D12" s="11" t="n">
        <v>3000</v>
      </c>
      <c r="E12" s="11" t="n">
        <v>8</v>
      </c>
      <c r="F12" s="11" t="inlineStr">
        <is>
          <t>—</t>
        </is>
      </c>
      <c r="G12" s="11" t="n">
        <v>6000</v>
      </c>
      <c r="H12" s="12" t="n"/>
    </row>
    <row r="13" ht="18" customHeight="1">
      <c r="B13" s="13" t="inlineStr">
        <is>
          <t>💡 Excel: =FV(rate,nper,0,-pv) | =PV(rate,nper,0,fv) | =RATE(nper,0,-pv,fv) | =NPER(rate,0,-pv,fv)</t>
        </is>
      </c>
    </row>
    <row r="15" ht="22" customHeight="1">
      <c r="B15" s="7" t="inlineStr">
        <is>
          <t>❓ MCQ — Choose A, B, C, or D</t>
        </is>
      </c>
    </row>
    <row r="16" ht="20" customHeight="1">
      <c r="B16" s="8" t="inlineStr">
        <is>
          <t>#</t>
        </is>
      </c>
      <c r="C16" s="8" t="inlineStr">
        <is>
          <t>Question (columns merged)</t>
        </is>
      </c>
      <c r="G16" s="8" t="inlineStr">
        <is>
          <t>Your Answer</t>
        </is>
      </c>
      <c r="H16" s="8" t="inlineStr">
        <is>
          <t>✅ Result</t>
        </is>
      </c>
    </row>
    <row r="17" ht="38" customHeight="1">
      <c r="B17" s="9" t="inlineStr">
        <is>
          <t>Q1</t>
        </is>
      </c>
      <c r="C17" s="10" t="inlineStr">
        <is>
          <t>Compounded interest is calculated on:   A) Principal only   B) Principal + accumulated interest   C) Interest only   D) None</t>
        </is>
      </c>
      <c r="G17" s="12" t="n"/>
      <c r="H17" s="14">
        <f>IF(UPPER(G17)="B","✅ Correct","❌ Try Again")</f>
        <v/>
      </c>
    </row>
    <row r="18" ht="38" customHeight="1">
      <c r="B18" s="9" t="inlineStr">
        <is>
          <t>Q2</t>
        </is>
      </c>
      <c r="C18" s="10" t="inlineStr">
        <is>
          <t>Which Excel function finds number of periods?   A) =FV()   B) =PV()   C) =RATE()   D) =NPER()</t>
        </is>
      </c>
      <c r="G18" s="12" t="n"/>
      <c r="H18" s="14">
        <f>IF(UPPER(G18)="D","✅ Correct","❌ Try Again")</f>
        <v/>
      </c>
    </row>
    <row r="19" ht="38" customHeight="1">
      <c r="B19" s="9" t="inlineStr">
        <is>
          <t>Q3</t>
        </is>
      </c>
      <c r="C19" s="10" t="inlineStr">
        <is>
          <t>Discounting is the _____ of compounding.   A) Same   B) Reverse   C) Double   D) Addition</t>
        </is>
      </c>
      <c r="G19" s="12" t="n"/>
      <c r="H19" s="14">
        <f>IF(UPPER(G19)="B","✅ Correct","❌ Try Again")</f>
        <v/>
      </c>
    </row>
    <row r="20" ht="38" customHeight="1">
      <c r="B20" s="9" t="inlineStr">
        <is>
          <t>Q4</t>
        </is>
      </c>
      <c r="C20" s="10" t="inlineStr">
        <is>
          <t>FV increases when:   A) Rate decreases   B) Time decreases   C) Rate increases   D) PV decreases</t>
        </is>
      </c>
      <c r="G20" s="12" t="n"/>
      <c r="H20" s="14">
        <f>IF(UPPER(G20)="C","✅ Correct","❌ Try Again")</f>
        <v/>
      </c>
    </row>
  </sheetData>
  <mergeCells count="9">
    <mergeCell ref="C18:F18"/>
    <mergeCell ref="C19:F19"/>
    <mergeCell ref="C17:F17"/>
    <mergeCell ref="B1:H1"/>
    <mergeCell ref="B13:H13"/>
    <mergeCell ref="C20:F20"/>
    <mergeCell ref="C16:F16"/>
    <mergeCell ref="B15:H15"/>
    <mergeCell ref="B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6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</cols>
  <sheetData>
    <row r="1" ht="32" customHeight="1">
      <c r="B1" s="15" t="inlineStr">
        <is>
          <t>Chapter 3: Cash Flows, Annuities &amp; Loans | التدفقات والدفعات والقروض</t>
        </is>
      </c>
    </row>
    <row r="3" ht="22" customHeight="1">
      <c r="B3" s="16" t="inlineStr">
        <is>
          <t>📐 Calculation Problems</t>
        </is>
      </c>
    </row>
    <row r="4" ht="20" customHeight="1">
      <c r="B4" s="17" t="inlineStr">
        <is>
          <t>#</t>
        </is>
      </c>
      <c r="C4" s="17" t="inlineStr">
        <is>
          <t>Question</t>
        </is>
      </c>
      <c r="D4" s="17" t="inlineStr">
        <is>
          <t>PV / Loan ($)</t>
        </is>
      </c>
      <c r="E4" s="17" t="inlineStr">
        <is>
          <t>Rate (%/period)</t>
        </is>
      </c>
      <c r="F4" s="17" t="inlineStr">
        <is>
          <t>Periods</t>
        </is>
      </c>
      <c r="G4" s="17" t="inlineStr">
        <is>
          <t>Info</t>
        </is>
      </c>
      <c r="H4" s="17" t="inlineStr">
        <is>
          <t>Your Answer</t>
        </is>
      </c>
    </row>
    <row r="5" ht="20" customHeight="1">
      <c r="B5" s="9" t="n">
        <v>1</v>
      </c>
      <c r="C5" s="10" t="inlineStr">
        <is>
          <t>PMT: Loan=$10,000, r=6%/yr → monthly pmt, 3 yrs</t>
        </is>
      </c>
      <c r="D5" s="11" t="n">
        <v>10000</v>
      </c>
      <c r="E5" s="11" t="n">
        <v>0.5</v>
      </c>
      <c r="F5" s="11" t="n">
        <v>36</v>
      </c>
      <c r="G5" s="11" t="inlineStr">
        <is>
          <t>monthly</t>
        </is>
      </c>
      <c r="H5" s="12" t="n"/>
    </row>
    <row r="6" ht="20" customHeight="1">
      <c r="B6" s="9" t="n">
        <v>2</v>
      </c>
      <c r="C6" s="10" t="inlineStr">
        <is>
          <t>PMT: Loan=$25,000, r=8%/yr → monthly pmt, 5 yrs</t>
        </is>
      </c>
      <c r="D6" s="11" t="n">
        <v>25000</v>
      </c>
      <c r="E6" s="11" t="n">
        <v>0.667</v>
      </c>
      <c r="F6" s="11" t="n">
        <v>60</v>
      </c>
      <c r="G6" s="11" t="inlineStr">
        <is>
          <t>monthly</t>
        </is>
      </c>
      <c r="H6" s="12" t="n"/>
    </row>
    <row r="7" ht="20" customHeight="1">
      <c r="B7" s="9" t="n">
        <v>3</v>
      </c>
      <c r="C7" s="10" t="inlineStr">
        <is>
          <t>PV of Annuity: PMT=$500/yr, r=8%, 5 yrs</t>
        </is>
      </c>
      <c r="D7" s="11" t="inlineStr">
        <is>
          <t>—</t>
        </is>
      </c>
      <c r="E7" s="11" t="n">
        <v>8</v>
      </c>
      <c r="F7" s="11" t="n">
        <v>5</v>
      </c>
      <c r="G7" s="11" t="inlineStr">
        <is>
          <t>PMT=500</t>
        </is>
      </c>
      <c r="H7" s="12" t="n"/>
    </row>
    <row r="8" ht="20" customHeight="1">
      <c r="B8" s="9" t="n">
        <v>4</v>
      </c>
      <c r="C8" s="10" t="inlineStr">
        <is>
          <t>PV of Annuity: PMT=$1,200/yr, r=6%, 8 yrs</t>
        </is>
      </c>
      <c r="D8" s="11" t="inlineStr">
        <is>
          <t>—</t>
        </is>
      </c>
      <c r="E8" s="11" t="n">
        <v>6</v>
      </c>
      <c r="F8" s="11" t="n">
        <v>8</v>
      </c>
      <c r="G8" s="11" t="inlineStr">
        <is>
          <t>PMT=1200</t>
        </is>
      </c>
      <c r="H8" s="12" t="n"/>
    </row>
    <row r="9" ht="20" customHeight="1">
      <c r="B9" s="9" t="n">
        <v>5</v>
      </c>
      <c r="C9" s="10" t="inlineStr">
        <is>
          <t>FV of Annuity: PMT=$300/mo, r=6%/yr, 3 yrs</t>
        </is>
      </c>
      <c r="D9" s="11" t="inlineStr">
        <is>
          <t>—</t>
        </is>
      </c>
      <c r="E9" s="11" t="n">
        <v>0.5</v>
      </c>
      <c r="F9" s="11" t="n">
        <v>36</v>
      </c>
      <c r="G9" s="11" t="inlineStr">
        <is>
          <t>PMT=300</t>
        </is>
      </c>
      <c r="H9" s="12" t="n"/>
    </row>
    <row r="10" ht="20" customHeight="1">
      <c r="B10" s="9" t="n">
        <v>6</v>
      </c>
      <c r="C10" s="10" t="inlineStr">
        <is>
          <t>EAR: APR=12%, compounded monthly</t>
        </is>
      </c>
      <c r="D10" s="11" t="inlineStr">
        <is>
          <t>—</t>
        </is>
      </c>
      <c r="E10" s="11" t="n">
        <v>12</v>
      </c>
      <c r="F10" s="11" t="n">
        <v>12</v>
      </c>
      <c r="G10" s="11" t="inlineStr">
        <is>
          <t>m=12</t>
        </is>
      </c>
      <c r="H10" s="12" t="n"/>
    </row>
    <row r="11" ht="20" customHeight="1">
      <c r="B11" s="9" t="n">
        <v>7</v>
      </c>
      <c r="C11" s="10" t="inlineStr">
        <is>
          <t>EAR: APR=9%, compounded quarterly</t>
        </is>
      </c>
      <c r="D11" s="11" t="inlineStr">
        <is>
          <t>—</t>
        </is>
      </c>
      <c r="E11" s="11" t="n">
        <v>9</v>
      </c>
      <c r="F11" s="11" t="n">
        <v>4</v>
      </c>
      <c r="G11" s="11" t="inlineStr">
        <is>
          <t>m=4</t>
        </is>
      </c>
      <c r="H11" s="12" t="n"/>
    </row>
    <row r="12" ht="20" customHeight="1">
      <c r="B12" s="9" t="n">
        <v>8</v>
      </c>
      <c r="C12" s="10" t="inlineStr">
        <is>
          <t>RATE: Loan=$5,000, PMT=$150/mo, 36 months → rate/mo</t>
        </is>
      </c>
      <c r="D12" s="11" t="n">
        <v>5000</v>
      </c>
      <c r="E12" s="11" t="inlineStr">
        <is>
          <t>—</t>
        </is>
      </c>
      <c r="F12" s="11" t="n">
        <v>36</v>
      </c>
      <c r="G12" s="11" t="inlineStr">
        <is>
          <t>PMT=150</t>
        </is>
      </c>
      <c r="H12" s="12" t="n"/>
    </row>
    <row r="13" ht="18" customHeight="1">
      <c r="B13" s="18" t="inlineStr">
        <is>
          <t>💡 Excel: =PMT(rate,nper,-pv) | =PV(rate,nper,pmt) | =FV(rate,nper,-pmt) | =EFFECT(apr,m) | EAR=(1+APR/m)^m−1</t>
        </is>
      </c>
    </row>
    <row r="15" ht="22" customHeight="1">
      <c r="B15" s="16" t="inlineStr">
        <is>
          <t>❓ MCQ</t>
        </is>
      </c>
    </row>
    <row r="16" ht="20" customHeight="1">
      <c r="B16" s="17" t="inlineStr">
        <is>
          <t>#</t>
        </is>
      </c>
      <c r="C16" s="17" t="inlineStr">
        <is>
          <t>Question</t>
        </is>
      </c>
      <c r="G16" s="17" t="inlineStr">
        <is>
          <t>Your Answer</t>
        </is>
      </c>
      <c r="H16" s="17" t="inlineStr">
        <is>
          <t>✅ Result</t>
        </is>
      </c>
    </row>
    <row r="17" ht="38" customHeight="1">
      <c r="B17" s="9" t="inlineStr">
        <is>
          <t>Q1</t>
        </is>
      </c>
      <c r="C17" s="10" t="inlineStr">
        <is>
          <t>Ordinary annuity payments are at:   A) Beginning   B) End   C) Middle   D) Annually only</t>
        </is>
      </c>
      <c r="G17" s="12" t="n"/>
      <c r="H17" s="14">
        <f>IF(UPPER(G17)="B","✅ Correct","❌ Try Again")</f>
        <v/>
      </c>
    </row>
    <row r="18" ht="38" customHeight="1">
      <c r="B18" s="9" t="inlineStr">
        <is>
          <t>Q2</t>
        </is>
      </c>
      <c r="C18" s="10" t="inlineStr">
        <is>
          <t>APR=12% monthly compounding → EAR=?   A) 12.00%   B) 12.36%   C) 12.68%   D) 13.00%</t>
        </is>
      </c>
      <c r="G18" s="12" t="n"/>
      <c r="H18" s="14">
        <f>IF(UPPER(G18)="C","✅ Correct","❌ Try Again")</f>
        <v/>
      </c>
    </row>
    <row r="19" ht="38" customHeight="1">
      <c r="B19" s="9" t="inlineStr">
        <is>
          <t>Q3</t>
        </is>
      </c>
      <c r="C19" s="10" t="inlineStr">
        <is>
          <t>In Excel, annuity due uses type=   A) 0   B) 1   C) 2   D) -1</t>
        </is>
      </c>
      <c r="G19" s="12" t="n"/>
      <c r="H19" s="14">
        <f>IF(UPPER(G19)="B","✅ Correct","❌ Try Again")</f>
        <v/>
      </c>
    </row>
    <row r="20" ht="38" customHeight="1">
      <c r="B20" s="9" t="inlineStr">
        <is>
          <t>Q4</t>
        </is>
      </c>
      <c r="C20" s="10" t="inlineStr">
        <is>
          <t>EAR &gt; APR when:   A) m=1   B) m&gt;1   C) m&lt;1   D) Always</t>
        </is>
      </c>
      <c r="G20" s="12" t="n"/>
      <c r="H20" s="14">
        <f>IF(UPPER(G20)="B","✅ Correct","❌ Try Again")</f>
        <v/>
      </c>
    </row>
  </sheetData>
  <mergeCells count="9">
    <mergeCell ref="C18:F18"/>
    <mergeCell ref="C19:F19"/>
    <mergeCell ref="C17:F17"/>
    <mergeCell ref="B1:H1"/>
    <mergeCell ref="B13:H13"/>
    <mergeCell ref="C20:F20"/>
    <mergeCell ref="C16:F16"/>
    <mergeCell ref="B15:H15"/>
    <mergeCell ref="B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6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</cols>
  <sheetData>
    <row r="1" ht="32" customHeight="1">
      <c r="B1" s="19" t="inlineStr">
        <is>
          <t>Chapter 4: Bonds | السندات</t>
        </is>
      </c>
    </row>
    <row r="3" ht="22" customHeight="1">
      <c r="B3" s="20" t="inlineStr">
        <is>
          <t>📐 Bond Problems</t>
        </is>
      </c>
    </row>
    <row r="4" ht="20" customHeight="1">
      <c r="B4" s="21" t="inlineStr">
        <is>
          <t>#</t>
        </is>
      </c>
      <c r="C4" s="21" t="inlineStr">
        <is>
          <t>Question</t>
        </is>
      </c>
      <c r="D4" s="21" t="inlineStr">
        <is>
          <t>Face Value ($)</t>
        </is>
      </c>
      <c r="E4" s="21" t="inlineStr">
        <is>
          <t>Coupon Rate %</t>
        </is>
      </c>
      <c r="F4" s="21" t="inlineStr">
        <is>
          <t>Years</t>
        </is>
      </c>
      <c r="G4" s="21" t="inlineStr">
        <is>
          <t>Req. Return %</t>
        </is>
      </c>
      <c r="H4" s="21" t="inlineStr">
        <is>
          <t>Your Answer</t>
        </is>
      </c>
    </row>
    <row r="5" ht="20" customHeight="1">
      <c r="B5" s="9" t="n">
        <v>1</v>
      </c>
      <c r="C5" s="10" t="inlineStr">
        <is>
          <t>Bond Price: FV=$1,000, coupon=8%, 5yr, r=10%</t>
        </is>
      </c>
      <c r="D5" s="11" t="n">
        <v>1000</v>
      </c>
      <c r="E5" s="11" t="n">
        <v>8</v>
      </c>
      <c r="F5" s="11" t="n">
        <v>5</v>
      </c>
      <c r="G5" s="11" t="n">
        <v>10</v>
      </c>
      <c r="H5" s="12" t="n"/>
    </row>
    <row r="6" ht="20" customHeight="1">
      <c r="B6" s="9" t="n">
        <v>2</v>
      </c>
      <c r="C6" s="10" t="inlineStr">
        <is>
          <t>Bond Price: FV=$1,000, coupon=8%, 5yr, r=6%</t>
        </is>
      </c>
      <c r="D6" s="11" t="n">
        <v>1000</v>
      </c>
      <c r="E6" s="11" t="n">
        <v>8</v>
      </c>
      <c r="F6" s="11" t="n">
        <v>5</v>
      </c>
      <c r="G6" s="11" t="n">
        <v>6</v>
      </c>
      <c r="H6" s="12" t="n"/>
    </row>
    <row r="7" ht="20" customHeight="1">
      <c r="B7" s="9" t="n">
        <v>3</v>
      </c>
      <c r="C7" s="10" t="inlineStr">
        <is>
          <t>Bond Price: FV=$1,000, coupon=8%, 5yr, r=8%</t>
        </is>
      </c>
      <c r="D7" s="11" t="n">
        <v>1000</v>
      </c>
      <c r="E7" s="11" t="n">
        <v>8</v>
      </c>
      <c r="F7" s="11" t="n">
        <v>5</v>
      </c>
      <c r="G7" s="11" t="n">
        <v>8</v>
      </c>
      <c r="H7" s="12" t="n"/>
    </row>
    <row r="8" ht="20" customHeight="1">
      <c r="B8" s="9" t="n">
        <v>4</v>
      </c>
      <c r="C8" s="10" t="inlineStr">
        <is>
          <t>Bond Price: FV=$1,000, coupon=10%, 10yr, r=8%</t>
        </is>
      </c>
      <c r="D8" s="11" t="n">
        <v>1000</v>
      </c>
      <c r="E8" s="11" t="n">
        <v>10</v>
      </c>
      <c r="F8" s="11" t="n">
        <v>10</v>
      </c>
      <c r="G8" s="11" t="n">
        <v>8</v>
      </c>
      <c r="H8" s="12" t="n"/>
    </row>
    <row r="9" ht="20" customHeight="1">
      <c r="B9" s="9" t="n">
        <v>5</v>
      </c>
      <c r="C9" s="10" t="inlineStr">
        <is>
          <t>Bond Price: FV=$5,000, coupon=6%, 3yr, r=9%</t>
        </is>
      </c>
      <c r="D9" s="11" t="n">
        <v>5000</v>
      </c>
      <c r="E9" s="11" t="n">
        <v>6</v>
      </c>
      <c r="F9" s="11" t="n">
        <v>3</v>
      </c>
      <c r="G9" s="11" t="n">
        <v>9</v>
      </c>
      <c r="H9" s="12" t="n"/>
    </row>
    <row r="10" ht="20" customHeight="1">
      <c r="B10" s="9" t="n">
        <v>6</v>
      </c>
      <c r="C10" s="10" t="inlineStr">
        <is>
          <t>Yield (RATE): FV=$1,000, coupon=$80/yr, Price=$950, 5yr</t>
        </is>
      </c>
      <c r="D10" s="11" t="n">
        <v>1000</v>
      </c>
      <c r="E10" s="11" t="n">
        <v>80</v>
      </c>
      <c r="F10" s="11" t="n">
        <v>5</v>
      </c>
      <c r="G10" s="11" t="inlineStr">
        <is>
          <t>—</t>
        </is>
      </c>
      <c r="H10" s="12" t="n"/>
    </row>
    <row r="11" ht="20" customHeight="1">
      <c r="B11" s="9" t="n">
        <v>7</v>
      </c>
      <c r="C11" s="10" t="inlineStr">
        <is>
          <t>Yield (RATE): FV=$1,000, coupon=$60/yr, Price=$1,050, 4yr</t>
        </is>
      </c>
      <c r="D11" s="11" t="n">
        <v>1000</v>
      </c>
      <c r="E11" s="11" t="n">
        <v>60</v>
      </c>
      <c r="F11" s="11" t="n">
        <v>4</v>
      </c>
      <c r="G11" s="11" t="inlineStr">
        <is>
          <t>—</t>
        </is>
      </c>
      <c r="H11" s="12" t="n"/>
    </row>
    <row r="12" ht="20" customHeight="1">
      <c r="B12" s="9" t="n">
        <v>8</v>
      </c>
      <c r="C12" s="10" t="inlineStr">
        <is>
          <t>Type Q1 bond: Premium(P), Discount(D), or Par(N)?</t>
        </is>
      </c>
      <c r="D12" s="11" t="n">
        <v>1000</v>
      </c>
      <c r="E12" s="11" t="n">
        <v>8</v>
      </c>
      <c r="F12" s="11" t="n">
        <v>5</v>
      </c>
      <c r="G12" s="11" t="n">
        <v>10</v>
      </c>
      <c r="H12" s="12" t="n"/>
    </row>
    <row r="13" ht="18" customHeight="1">
      <c r="B13" s="22" t="inlineStr">
        <is>
          <t>💡 Excel Price: =PV(req%,yrs,coupon,FV) | Yield: =RATE(yrs,coupon,-price,FV) | Q8: type P, D, or N</t>
        </is>
      </c>
    </row>
    <row r="15" ht="22" customHeight="1">
      <c r="B15" s="20" t="inlineStr">
        <is>
          <t>❓ MCQ</t>
        </is>
      </c>
    </row>
    <row r="16" ht="20" customHeight="1">
      <c r="B16" s="21" t="inlineStr">
        <is>
          <t>#</t>
        </is>
      </c>
      <c r="C16" s="21" t="inlineStr">
        <is>
          <t>Question</t>
        </is>
      </c>
      <c r="G16" s="21" t="inlineStr">
        <is>
          <t>Your Answer</t>
        </is>
      </c>
      <c r="H16" s="21" t="inlineStr">
        <is>
          <t>✅ Result</t>
        </is>
      </c>
    </row>
    <row r="17" ht="38" customHeight="1">
      <c r="B17" s="9" t="inlineStr">
        <is>
          <t>Q1</t>
        </is>
      </c>
      <c r="C17" s="10" t="inlineStr">
        <is>
          <t>Coupon rate &gt; Required return → bond sells:   A) Discount   B) Par   C) Premium   D) Zero</t>
        </is>
      </c>
      <c r="G17" s="12" t="n"/>
      <c r="H17" s="14">
        <f>IF(UPPER(G17)="C","✅ Correct","❌ Try Again")</f>
        <v/>
      </c>
    </row>
    <row r="18" ht="38" customHeight="1">
      <c r="B18" s="9" t="inlineStr">
        <is>
          <t>Q2</t>
        </is>
      </c>
      <c r="C18" s="10" t="inlineStr">
        <is>
          <t>Bond prices and yields move:   A) Together   B) Inversely   C) Randomly   D) Only with inflation</t>
        </is>
      </c>
      <c r="G18" s="12" t="n"/>
      <c r="H18" s="14">
        <f>IF(UPPER(G18)="B","✅ Correct","❌ Try Again")</f>
        <v/>
      </c>
    </row>
    <row r="19" ht="38" customHeight="1">
      <c r="B19" s="9" t="inlineStr">
        <is>
          <t>Q3</t>
        </is>
      </c>
      <c r="C19" s="10" t="inlineStr">
        <is>
          <t>Fisher Effect: (1+n) =   A) (1+r)+(1+i)   B) (1+r)×(1+i)   C) r+i   D) r×i</t>
        </is>
      </c>
      <c r="G19" s="12" t="n"/>
      <c r="H19" s="14">
        <f>IF(UPPER(G19)="B","✅ Correct","❌ Try Again")</f>
        <v/>
      </c>
    </row>
    <row r="20" ht="38" customHeight="1">
      <c r="B20" s="9" t="inlineStr">
        <is>
          <t>Q4</t>
        </is>
      </c>
      <c r="C20" s="10" t="inlineStr">
        <is>
          <t>Zero-coupon bonds:   A) Pay monthly   B) Pay annually   C) Only pay face value at maturity   D) No face value</t>
        </is>
      </c>
      <c r="G20" s="12" t="n"/>
      <c r="H20" s="14">
        <f>IF(UPPER(G20)="C","✅ Correct","❌ Try Again")</f>
        <v/>
      </c>
    </row>
  </sheetData>
  <mergeCells count="9">
    <mergeCell ref="C18:F18"/>
    <mergeCell ref="C19:F19"/>
    <mergeCell ref="C17:F17"/>
    <mergeCell ref="B1:H1"/>
    <mergeCell ref="B13:H13"/>
    <mergeCell ref="C20:F20"/>
    <mergeCell ref="C16:F16"/>
    <mergeCell ref="B15:H15"/>
    <mergeCell ref="B3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6" customWidth="1" min="3" max="3"/>
    <col width="12" customWidth="1" min="4" max="4"/>
    <col width="10" customWidth="1" min="5" max="5"/>
    <col width="12" customWidth="1" min="6" max="6"/>
    <col width="18" customWidth="1" min="7" max="7"/>
    <col width="18" customWidth="1" min="8" max="8"/>
  </cols>
  <sheetData>
    <row r="1" ht="32" customHeight="1">
      <c r="B1" s="23" t="inlineStr">
        <is>
          <t>Chapter 5: Stocks | الأسهم</t>
        </is>
      </c>
    </row>
    <row r="3" ht="22" customHeight="1">
      <c r="B3" s="24" t="inlineStr">
        <is>
          <t>📐 Stock Valuation Problems</t>
        </is>
      </c>
    </row>
    <row r="4" ht="20" customHeight="1">
      <c r="B4" s="25" t="inlineStr">
        <is>
          <t>#</t>
        </is>
      </c>
      <c r="C4" s="25" t="inlineStr">
        <is>
          <t>Question</t>
        </is>
      </c>
      <c r="D4" s="25" t="inlineStr">
        <is>
          <t>D₁ / EPS ($)</t>
        </is>
      </c>
      <c r="E4" s="25" t="inlineStr">
        <is>
          <t>r (%)</t>
        </is>
      </c>
      <c r="F4" s="25" t="inlineStr">
        <is>
          <t>g (%)</t>
        </is>
      </c>
      <c r="G4" s="25" t="inlineStr">
        <is>
          <t>Extra</t>
        </is>
      </c>
      <c r="H4" s="25" t="inlineStr">
        <is>
          <t>Your Answer</t>
        </is>
      </c>
    </row>
    <row r="5" ht="20" customHeight="1">
      <c r="B5" s="9" t="n">
        <v>1</v>
      </c>
      <c r="C5" s="10" t="inlineStr">
        <is>
          <t>Zero Growth: D=$3, r=12% → Stock Price</t>
        </is>
      </c>
      <c r="D5" s="11" t="n">
        <v>3</v>
      </c>
      <c r="E5" s="11" t="n">
        <v>12</v>
      </c>
      <c r="F5" s="11" t="n">
        <v>0</v>
      </c>
      <c r="G5" s="11" t="inlineStr">
        <is>
          <t>P=D/r</t>
        </is>
      </c>
      <c r="H5" s="12" t="n"/>
    </row>
    <row r="6" ht="20" customHeight="1">
      <c r="B6" s="9" t="n">
        <v>2</v>
      </c>
      <c r="C6" s="10" t="inlineStr">
        <is>
          <t>Zero Growth: D=$5, r=10% → Stock Price</t>
        </is>
      </c>
      <c r="D6" s="11" t="n">
        <v>5</v>
      </c>
      <c r="E6" s="11" t="n">
        <v>10</v>
      </c>
      <c r="F6" s="11" t="n">
        <v>0</v>
      </c>
      <c r="G6" s="11" t="inlineStr">
        <is>
          <t>P=D/r</t>
        </is>
      </c>
      <c r="H6" s="12" t="n"/>
    </row>
    <row r="7" ht="20" customHeight="1">
      <c r="B7" s="9" t="n">
        <v>3</v>
      </c>
      <c r="C7" s="10" t="inlineStr">
        <is>
          <t>Constant Growth: D₁=$2, r=10%, g=5%</t>
        </is>
      </c>
      <c r="D7" s="11" t="n">
        <v>2</v>
      </c>
      <c r="E7" s="11" t="n">
        <v>10</v>
      </c>
      <c r="F7" s="11" t="n">
        <v>5</v>
      </c>
      <c r="G7" s="11" t="inlineStr">
        <is>
          <t>Gordon</t>
        </is>
      </c>
      <c r="H7" s="12" t="n"/>
    </row>
    <row r="8" ht="20" customHeight="1">
      <c r="B8" s="9" t="n">
        <v>4</v>
      </c>
      <c r="C8" s="10" t="inlineStr">
        <is>
          <t>Constant Growth: D₁=$3, r=12%, g=4%</t>
        </is>
      </c>
      <c r="D8" s="11" t="n">
        <v>3</v>
      </c>
      <c r="E8" s="11" t="n">
        <v>12</v>
      </c>
      <c r="F8" s="11" t="n">
        <v>4</v>
      </c>
      <c r="G8" s="11" t="inlineStr">
        <is>
          <t>Gordon</t>
        </is>
      </c>
      <c r="H8" s="12" t="n"/>
    </row>
    <row r="9" ht="20" customHeight="1">
      <c r="B9" s="9" t="n">
        <v>5</v>
      </c>
      <c r="C9" s="10" t="inlineStr">
        <is>
          <t>Constant Growth: D₁=$1.5, r=9%, g=3%</t>
        </is>
      </c>
      <c r="D9" s="11" t="n">
        <v>1.5</v>
      </c>
      <c r="E9" s="11" t="n">
        <v>9</v>
      </c>
      <c r="F9" s="11" t="n">
        <v>3</v>
      </c>
      <c r="G9" s="11" t="inlineStr">
        <is>
          <t>Gordon</t>
        </is>
      </c>
      <c r="H9" s="12" t="n"/>
    </row>
    <row r="10" ht="20" customHeight="1">
      <c r="B10" s="9" t="n">
        <v>6</v>
      </c>
      <c r="C10" s="10" t="inlineStr">
        <is>
          <t>P/E: EPS=$4, P/E=15 → Stock Price</t>
        </is>
      </c>
      <c r="D10" s="11" t="n">
        <v>4</v>
      </c>
      <c r="E10" s="11" t="inlineStr">
        <is>
          <t>—</t>
        </is>
      </c>
      <c r="F10" s="11" t="inlineStr">
        <is>
          <t>—</t>
        </is>
      </c>
      <c r="G10" s="11" t="inlineStr">
        <is>
          <t>P/E=15</t>
        </is>
      </c>
      <c r="H10" s="12" t="n"/>
    </row>
    <row r="11" ht="20" customHeight="1">
      <c r="B11" s="9" t="n">
        <v>7</v>
      </c>
      <c r="C11" s="10" t="inlineStr">
        <is>
          <t>SGR: ROE=20%, Payout ratio=40% → SGR%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ROE=20%,b=60%</t>
        </is>
      </c>
      <c r="H11" s="12" t="n"/>
    </row>
    <row r="12" ht="20" customHeight="1">
      <c r="B12" s="9" t="n">
        <v>8</v>
      </c>
      <c r="C12" s="10" t="inlineStr">
        <is>
          <t>SGR: ROE=15%, Retention=70% → SGR%</t>
        </is>
      </c>
      <c r="D12" s="11" t="inlineStr">
        <is>
          <t>—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ROE=15%,b=70%</t>
        </is>
      </c>
      <c r="H12" s="12" t="n"/>
    </row>
    <row r="13" ht="18" customHeight="1">
      <c r="B13" s="26" t="inlineStr">
        <is>
          <t>💡 Zero growth: P=D/r | Constant growth: P=D₁/(r−g) | SGR=ROE×retention | P/E: Price=P/E×EPS</t>
        </is>
      </c>
    </row>
    <row r="15" ht="22" customHeight="1">
      <c r="B15" s="24" t="inlineStr">
        <is>
          <t>❓ MCQ</t>
        </is>
      </c>
    </row>
    <row r="16" ht="20" customHeight="1">
      <c r="B16" s="25" t="inlineStr">
        <is>
          <t>#</t>
        </is>
      </c>
      <c r="C16" s="25" t="inlineStr">
        <is>
          <t>Question</t>
        </is>
      </c>
      <c r="G16" s="25" t="inlineStr">
        <is>
          <t>Your Answer</t>
        </is>
      </c>
      <c r="H16" s="25" t="inlineStr">
        <is>
          <t>✅ Result</t>
        </is>
      </c>
    </row>
    <row r="17" ht="38" customHeight="1">
      <c r="B17" s="9" t="inlineStr">
        <is>
          <t>Q1</t>
        </is>
      </c>
      <c r="C17" s="10" t="inlineStr">
        <is>
          <t>Gordon model requires:   A) r&lt;g   B) r&gt;g   C) r=g   D) g=0</t>
        </is>
      </c>
      <c r="G17" s="12" t="n"/>
      <c r="H17" s="14">
        <f>IF(UPPER(G17)="B","✅ Correct","❌ Try Again")</f>
        <v/>
      </c>
    </row>
    <row r="18" ht="38" customHeight="1">
      <c r="B18" s="9" t="inlineStr">
        <is>
          <t>Q2</t>
        </is>
      </c>
      <c r="C18" s="10" t="inlineStr">
        <is>
          <t>SGR = ?   A) ROE×payout   B) ROE×retention   C) EPS/Price   D) D/r</t>
        </is>
      </c>
      <c r="G18" s="12" t="n"/>
      <c r="H18" s="14">
        <f>IF(UPPER(G18)="B","✅ Correct","❌ Try Again")</f>
        <v/>
      </c>
    </row>
    <row r="19" ht="38" customHeight="1">
      <c r="B19" s="9" t="inlineStr">
        <is>
          <t>Q3</t>
        </is>
      </c>
      <c r="C19" s="10" t="inlineStr">
        <is>
          <t>Cumulative voting benefits:   A) Majority   B) Board   C) Minority shareholders   D) Creditors</t>
        </is>
      </c>
      <c r="G19" s="12" t="n"/>
      <c r="H19" s="14">
        <f>IF(UPPER(G19)="C","✅ Correct","❌ Try Again")</f>
        <v/>
      </c>
    </row>
    <row r="20" ht="38" customHeight="1">
      <c r="B20" s="9" t="inlineStr">
        <is>
          <t>Q4</t>
        </is>
      </c>
      <c r="C20" s="10" t="inlineStr">
        <is>
          <t>Zero growth stock: P =   A) D₁/(r-g)   B) D/r   C) EPS×P/E   D) FV/(1+r)</t>
        </is>
      </c>
      <c r="G20" s="12" t="n"/>
      <c r="H20" s="14">
        <f>IF(UPPER(G20)="B","✅ Correct","❌ Try Again")</f>
        <v/>
      </c>
    </row>
  </sheetData>
  <mergeCells count="9">
    <mergeCell ref="C18:F18"/>
    <mergeCell ref="C19:F19"/>
    <mergeCell ref="C17:F17"/>
    <mergeCell ref="B1:H1"/>
    <mergeCell ref="B13:H13"/>
    <mergeCell ref="C20:F20"/>
    <mergeCell ref="C16:F16"/>
    <mergeCell ref="B15:H15"/>
    <mergeCell ref="B3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6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0" customWidth="1" min="3" max="3"/>
    <col width="22" customWidth="1" min="4" max="4"/>
    <col width="28" customWidth="1" min="5" max="5"/>
  </cols>
  <sheetData>
    <row r="1" ht="32" customHeight="1">
      <c r="B1" s="27" t="inlineStr">
        <is>
          <t>🏆 Answer Key | مفتاح الإجابات — FIN 200</t>
        </is>
      </c>
    </row>
    <row r="3" ht="22" customHeight="1">
      <c r="B3" s="7" t="inlineStr">
        <is>
          <t>Chapter 2 — Time Value</t>
        </is>
      </c>
    </row>
    <row r="4">
      <c r="B4" s="8" t="inlineStr">
        <is>
          <t>Question</t>
        </is>
      </c>
      <c r="C4" s="8" t="inlineStr">
        <is>
          <t>Answer</t>
        </is>
      </c>
      <c r="D4" s="8" t="inlineStr">
        <is>
          <t>Formula / Note</t>
        </is>
      </c>
      <c r="E4" s="8" t="inlineStr"/>
    </row>
    <row r="5" ht="18" customHeight="1">
      <c r="B5" s="28" t="inlineStr">
        <is>
          <t>Q1 FV</t>
        </is>
      </c>
      <c r="C5" s="29" t="inlineStr">
        <is>
          <t>$1,469.33</t>
        </is>
      </c>
      <c r="D5" s="30">
        <f>FV(8%,5,0,-1000)</f>
        <v/>
      </c>
    </row>
    <row r="6" ht="18" customHeight="1">
      <c r="B6" s="28" t="inlineStr">
        <is>
          <t>Q2 FV</t>
        </is>
      </c>
      <c r="C6" s="29" t="inlineStr">
        <is>
          <t>$4,477.12</t>
        </is>
      </c>
      <c r="D6" s="30">
        <f>FV(6%,10,0,-2500)</f>
        <v/>
      </c>
    </row>
    <row r="7" ht="18" customHeight="1">
      <c r="B7" s="28" t="inlineStr">
        <is>
          <t>Q3 PV</t>
        </is>
      </c>
      <c r="C7" s="29" t="inlineStr">
        <is>
          <t>$3,415.07</t>
        </is>
      </c>
      <c r="D7" s="30">
        <f>PV(10%,4,0,5000)</f>
        <v/>
      </c>
    </row>
    <row r="8" ht="18" customHeight="1">
      <c r="B8" s="28" t="inlineStr">
        <is>
          <t>Q4 PV</t>
        </is>
      </c>
      <c r="C8" s="29" t="inlineStr">
        <is>
          <t>$5,303.55</t>
        </is>
      </c>
      <c r="D8" s="30">
        <f>PV(7%,6,0,8000)</f>
        <v/>
      </c>
    </row>
    <row r="9" ht="18" customHeight="1">
      <c r="B9" s="28" t="inlineStr">
        <is>
          <t>Q5 RATE</t>
        </is>
      </c>
      <c r="C9" s="29" t="inlineStr">
        <is>
          <t>10.00%</t>
        </is>
      </c>
      <c r="D9" s="30">
        <f>RATE(3,0,-1000,1331)</f>
        <v/>
      </c>
    </row>
    <row r="10" ht="18" customHeight="1">
      <c r="B10" s="28" t="inlineStr">
        <is>
          <t>Q6 RATE</t>
        </is>
      </c>
      <c r="C10" s="29" t="inlineStr">
        <is>
          <t>9.86%</t>
        </is>
      </c>
      <c r="D10" s="30">
        <f>RATE(5,0,-500,800)</f>
        <v/>
      </c>
    </row>
    <row r="11" ht="18" customHeight="1">
      <c r="B11" s="28" t="inlineStr">
        <is>
          <t>Q7 NPER</t>
        </is>
      </c>
      <c r="C11" s="29" t="inlineStr">
        <is>
          <t>7.27 periods</t>
        </is>
      </c>
      <c r="D11" s="30">
        <f>NPER(10%,0,-1000,2000)</f>
        <v/>
      </c>
    </row>
    <row r="12" ht="18" customHeight="1">
      <c r="B12" s="28" t="inlineStr">
        <is>
          <t>Q8 NPER</t>
        </is>
      </c>
      <c r="C12" s="29" t="inlineStr">
        <is>
          <t>9.01 periods</t>
        </is>
      </c>
      <c r="D12" s="30">
        <f>NPER(8%,0,-3000,6000)</f>
        <v/>
      </c>
    </row>
    <row r="13" ht="18" customHeight="1">
      <c r="B13" s="28" t="inlineStr">
        <is>
          <t>MCQ1</t>
        </is>
      </c>
      <c r="C13" s="29" t="inlineStr">
        <is>
          <t>B</t>
        </is>
      </c>
      <c r="D13" s="30" t="inlineStr">
        <is>
          <t>Principal + accumulated interest</t>
        </is>
      </c>
    </row>
    <row r="14" ht="18" customHeight="1">
      <c r="B14" s="28" t="inlineStr">
        <is>
          <t>MCQ2</t>
        </is>
      </c>
      <c r="C14" s="29" t="inlineStr">
        <is>
          <t>D</t>
        </is>
      </c>
      <c r="D14" s="30">
        <f>NPER()</f>
        <v/>
      </c>
    </row>
    <row r="15" ht="18" customHeight="1">
      <c r="B15" s="28" t="inlineStr">
        <is>
          <t>MCQ3</t>
        </is>
      </c>
      <c r="C15" s="29" t="inlineStr">
        <is>
          <t>B</t>
        </is>
      </c>
      <c r="D15" s="30" t="inlineStr">
        <is>
          <t>Reverse</t>
        </is>
      </c>
    </row>
    <row r="16" ht="18" customHeight="1">
      <c r="B16" s="28" t="inlineStr">
        <is>
          <t>MCQ4</t>
        </is>
      </c>
      <c r="C16" s="29" t="inlineStr">
        <is>
          <t>C</t>
        </is>
      </c>
      <c r="D16" s="30" t="inlineStr">
        <is>
          <t>Rate increases → FV increases</t>
        </is>
      </c>
    </row>
    <row r="18" ht="22" customHeight="1">
      <c r="B18" s="16" t="inlineStr">
        <is>
          <t>Chapter 3 — Annuities &amp; Loans</t>
        </is>
      </c>
    </row>
    <row r="19">
      <c r="B19" s="17" t="inlineStr">
        <is>
          <t>Question</t>
        </is>
      </c>
      <c r="C19" s="17" t="inlineStr">
        <is>
          <t>Answer</t>
        </is>
      </c>
      <c r="D19" s="17" t="inlineStr">
        <is>
          <t>Formula / Note</t>
        </is>
      </c>
      <c r="E19" s="17" t="inlineStr"/>
    </row>
    <row r="20" ht="18" customHeight="1">
      <c r="B20" s="28" t="inlineStr">
        <is>
          <t>Q1 PMT</t>
        </is>
      </c>
      <c r="C20" s="29" t="inlineStr">
        <is>
          <t>$304.22 /month</t>
        </is>
      </c>
      <c r="D20" s="30">
        <f>PMT(0.5%,36,-10000)</f>
        <v/>
      </c>
    </row>
    <row r="21" ht="18" customHeight="1">
      <c r="B21" s="28" t="inlineStr">
        <is>
          <t>Q2 PMT</t>
        </is>
      </c>
      <c r="C21" s="29" t="inlineStr">
        <is>
          <t>$506.91 /month</t>
        </is>
      </c>
      <c r="D21" s="30">
        <f>PMT(0.667%,60,-25000)</f>
        <v/>
      </c>
    </row>
    <row r="22" ht="18" customHeight="1">
      <c r="B22" s="28" t="inlineStr">
        <is>
          <t>Q3 PV Annuity</t>
        </is>
      </c>
      <c r="C22" s="29" t="inlineStr">
        <is>
          <t>$1,996.36</t>
        </is>
      </c>
      <c r="D22" s="30">
        <f>PV(8%,5,500)</f>
        <v/>
      </c>
    </row>
    <row r="23" ht="18" customHeight="1">
      <c r="B23" s="28" t="inlineStr">
        <is>
          <t>Q4 PV Annuity</t>
        </is>
      </c>
      <c r="C23" s="29" t="inlineStr">
        <is>
          <t>$7,433.45</t>
        </is>
      </c>
      <c r="D23" s="30">
        <f>PV(6%,8,1200)</f>
        <v/>
      </c>
    </row>
    <row r="24" ht="18" customHeight="1">
      <c r="B24" s="28" t="inlineStr">
        <is>
          <t>Q5 FV Annuity</t>
        </is>
      </c>
      <c r="C24" s="29" t="inlineStr">
        <is>
          <t>$11,114.58</t>
        </is>
      </c>
      <c r="D24" s="30">
        <f>FV(0.5%,36,-300)</f>
        <v/>
      </c>
    </row>
    <row r="25" ht="18" customHeight="1">
      <c r="B25" s="28" t="inlineStr">
        <is>
          <t>Q6 EAR</t>
        </is>
      </c>
      <c r="C25" s="29" t="inlineStr">
        <is>
          <t>12.68%</t>
        </is>
      </c>
      <c r="D25" s="30">
        <f>EFFECT(12%,12) or (1+0.12/12)^12-1</f>
        <v/>
      </c>
    </row>
    <row r="26" ht="18" customHeight="1">
      <c r="B26" s="28" t="inlineStr">
        <is>
          <t>Q7 EAR</t>
        </is>
      </c>
      <c r="C26" s="29" t="inlineStr">
        <is>
          <t>9.31%</t>
        </is>
      </c>
      <c r="D26" s="30">
        <f>EFFECT(9%,4) or (1+0.09/4)^4-1</f>
        <v/>
      </c>
    </row>
    <row r="27" ht="18" customHeight="1">
      <c r="B27" s="28" t="inlineStr">
        <is>
          <t>Q8 RATE</t>
        </is>
      </c>
      <c r="C27" s="29" t="inlineStr">
        <is>
          <t>1.84% per month</t>
        </is>
      </c>
      <c r="D27" s="30">
        <f>RATE(36,150,-5000)</f>
        <v/>
      </c>
    </row>
    <row r="28" ht="18" customHeight="1">
      <c r="B28" s="28" t="inlineStr">
        <is>
          <t>MCQ1</t>
        </is>
      </c>
      <c r="C28" s="29" t="inlineStr">
        <is>
          <t>B</t>
        </is>
      </c>
      <c r="D28" s="30" t="inlineStr">
        <is>
          <t>End of period</t>
        </is>
      </c>
    </row>
    <row r="29" ht="18" customHeight="1">
      <c r="B29" s="28" t="inlineStr">
        <is>
          <t>MCQ2</t>
        </is>
      </c>
      <c r="C29" s="29" t="inlineStr">
        <is>
          <t>C</t>
        </is>
      </c>
      <c r="D29" s="30" t="inlineStr">
        <is>
          <t>12.68%</t>
        </is>
      </c>
    </row>
    <row r="30" ht="18" customHeight="1">
      <c r="B30" s="28" t="inlineStr">
        <is>
          <t>MCQ3</t>
        </is>
      </c>
      <c r="C30" s="29" t="inlineStr">
        <is>
          <t>B</t>
        </is>
      </c>
      <c r="D30" s="30" t="inlineStr">
        <is>
          <t>type=1</t>
        </is>
      </c>
    </row>
    <row r="31" ht="18" customHeight="1">
      <c r="B31" s="28" t="inlineStr">
        <is>
          <t>MCQ4</t>
        </is>
      </c>
      <c r="C31" s="29" t="inlineStr">
        <is>
          <t>B</t>
        </is>
      </c>
      <c r="D31" s="30" t="inlineStr">
        <is>
          <t>m &gt; 1</t>
        </is>
      </c>
    </row>
    <row r="33" ht="22" customHeight="1">
      <c r="B33" s="20" t="inlineStr">
        <is>
          <t>Chapter 4 — Bonds</t>
        </is>
      </c>
    </row>
    <row r="34">
      <c r="B34" s="21" t="inlineStr">
        <is>
          <t>Question</t>
        </is>
      </c>
      <c r="C34" s="21" t="inlineStr">
        <is>
          <t>Answer</t>
        </is>
      </c>
      <c r="D34" s="21" t="inlineStr">
        <is>
          <t>Formula / Note</t>
        </is>
      </c>
      <c r="E34" s="21" t="inlineStr"/>
    </row>
    <row r="35" ht="18" customHeight="1">
      <c r="B35" s="28" t="inlineStr">
        <is>
          <t>Q1 Price</t>
        </is>
      </c>
      <c r="C35" s="29" t="inlineStr">
        <is>
          <t>$924.18 — Discount</t>
        </is>
      </c>
      <c r="D35" s="30">
        <f>PV(10%,5,80,1000)</f>
        <v/>
      </c>
    </row>
    <row r="36" ht="18" customHeight="1">
      <c r="B36" s="28" t="inlineStr">
        <is>
          <t>Q2 Price</t>
        </is>
      </c>
      <c r="C36" s="29" t="inlineStr">
        <is>
          <t>$1,084.25 — Premium</t>
        </is>
      </c>
      <c r="D36" s="30">
        <f>PV(6%,5,80,1000)</f>
        <v/>
      </c>
    </row>
    <row r="37" ht="18" customHeight="1">
      <c r="B37" s="28" t="inlineStr">
        <is>
          <t>Q3 Price</t>
        </is>
      </c>
      <c r="C37" s="29" t="inlineStr">
        <is>
          <t>$1,000.00 — Par</t>
        </is>
      </c>
      <c r="D37" s="30">
        <f>PV(8%,5,80,1000)</f>
        <v/>
      </c>
    </row>
    <row r="38" ht="18" customHeight="1">
      <c r="B38" s="28" t="inlineStr">
        <is>
          <t>Q4 Price</t>
        </is>
      </c>
      <c r="C38" s="29" t="inlineStr">
        <is>
          <t>$1,134.20 — Premium</t>
        </is>
      </c>
      <c r="D38" s="30">
        <f>PV(8%,10,100,1000)</f>
        <v/>
      </c>
    </row>
    <row r="39" ht="18" customHeight="1">
      <c r="B39" s="28" t="inlineStr">
        <is>
          <t>Q5 Price</t>
        </is>
      </c>
      <c r="C39" s="29" t="inlineStr">
        <is>
          <t>$4,621.81</t>
        </is>
      </c>
      <c r="D39" s="30">
        <f>PV(9%,3,300,5000)</f>
        <v/>
      </c>
    </row>
    <row r="40" ht="18" customHeight="1">
      <c r="B40" s="28" t="inlineStr">
        <is>
          <t>Q6 Yield</t>
        </is>
      </c>
      <c r="C40" s="29" t="inlineStr">
        <is>
          <t>9.19%</t>
        </is>
      </c>
      <c r="D40" s="30">
        <f>RATE(5,80,-950,1000)</f>
        <v/>
      </c>
    </row>
    <row r="41" ht="18" customHeight="1">
      <c r="B41" s="28" t="inlineStr">
        <is>
          <t>Q7 Yield</t>
        </is>
      </c>
      <c r="C41" s="29" t="inlineStr">
        <is>
          <t>4.56%</t>
        </is>
      </c>
      <c r="D41" s="30">
        <f>RATE(4,60,-1050,1000)</f>
        <v/>
      </c>
    </row>
    <row r="42" ht="18" customHeight="1">
      <c r="B42" s="28" t="inlineStr">
        <is>
          <t>Q8 Type</t>
        </is>
      </c>
      <c r="C42" s="29" t="inlineStr">
        <is>
          <t>D (Discount)</t>
        </is>
      </c>
      <c r="D42" s="30" t="inlineStr">
        <is>
          <t>Coupon 8% &lt; Required Return 10%</t>
        </is>
      </c>
    </row>
    <row r="43" ht="18" customHeight="1">
      <c r="B43" s="28" t="inlineStr">
        <is>
          <t>MCQ1</t>
        </is>
      </c>
      <c r="C43" s="29" t="inlineStr">
        <is>
          <t>C</t>
        </is>
      </c>
      <c r="D43" s="30" t="inlineStr">
        <is>
          <t>Premium</t>
        </is>
      </c>
    </row>
    <row r="44" ht="18" customHeight="1">
      <c r="B44" s="28" t="inlineStr">
        <is>
          <t>MCQ2</t>
        </is>
      </c>
      <c r="C44" s="29" t="inlineStr">
        <is>
          <t>B</t>
        </is>
      </c>
      <c r="D44" s="30" t="inlineStr">
        <is>
          <t>Inversely</t>
        </is>
      </c>
    </row>
    <row r="45" ht="18" customHeight="1">
      <c r="B45" s="28" t="inlineStr">
        <is>
          <t>MCQ3</t>
        </is>
      </c>
      <c r="C45" s="29" t="inlineStr">
        <is>
          <t>B</t>
        </is>
      </c>
      <c r="D45" s="30" t="inlineStr">
        <is>
          <t>(1+n)=(1+r)×(1+i)</t>
        </is>
      </c>
    </row>
    <row r="46" ht="18" customHeight="1">
      <c r="B46" s="28" t="inlineStr">
        <is>
          <t>MCQ4</t>
        </is>
      </c>
      <c r="C46" s="29" t="inlineStr">
        <is>
          <t>C</t>
        </is>
      </c>
      <c r="D46" s="30" t="inlineStr">
        <is>
          <t>Only face value at maturity</t>
        </is>
      </c>
    </row>
    <row r="48" ht="22" customHeight="1">
      <c r="B48" s="24" t="inlineStr">
        <is>
          <t>Chapter 5 — Stocks</t>
        </is>
      </c>
    </row>
    <row r="49">
      <c r="B49" s="25" t="inlineStr">
        <is>
          <t>Question</t>
        </is>
      </c>
      <c r="C49" s="25" t="inlineStr">
        <is>
          <t>Answer</t>
        </is>
      </c>
      <c r="D49" s="25" t="inlineStr">
        <is>
          <t>Formula / Note</t>
        </is>
      </c>
      <c r="E49" s="25" t="inlineStr"/>
    </row>
    <row r="50" ht="18" customHeight="1">
      <c r="B50" s="28" t="inlineStr">
        <is>
          <t>Q1 Zero Growth</t>
        </is>
      </c>
      <c r="C50" s="29" t="inlineStr">
        <is>
          <t>$25.00</t>
        </is>
      </c>
      <c r="D50" s="30" t="inlineStr">
        <is>
          <t>P = 3 / 0.12</t>
        </is>
      </c>
    </row>
    <row r="51" ht="18" customHeight="1">
      <c r="B51" s="28" t="inlineStr">
        <is>
          <t>Q2 Zero Growth</t>
        </is>
      </c>
      <c r="C51" s="29" t="inlineStr">
        <is>
          <t>$50.00</t>
        </is>
      </c>
      <c r="D51" s="30" t="inlineStr">
        <is>
          <t>P = 5 / 0.10</t>
        </is>
      </c>
    </row>
    <row r="52" ht="18" customHeight="1">
      <c r="B52" s="28" t="inlineStr">
        <is>
          <t>Q3 Const. Growth</t>
        </is>
      </c>
      <c r="C52" s="29" t="inlineStr">
        <is>
          <t>$40.00</t>
        </is>
      </c>
      <c r="D52" s="30" t="inlineStr">
        <is>
          <t>P = 2 / (0.10 - 0.05)</t>
        </is>
      </c>
    </row>
    <row r="53" ht="18" customHeight="1">
      <c r="B53" s="28" t="inlineStr">
        <is>
          <t>Q4 Const. Growth</t>
        </is>
      </c>
      <c r="C53" s="29" t="inlineStr">
        <is>
          <t>$37.50</t>
        </is>
      </c>
      <c r="D53" s="30" t="inlineStr">
        <is>
          <t>P = 3 / (0.12 - 0.04)</t>
        </is>
      </c>
    </row>
    <row r="54" ht="18" customHeight="1">
      <c r="B54" s="28" t="inlineStr">
        <is>
          <t>Q5 Const. Growth</t>
        </is>
      </c>
      <c r="C54" s="29" t="inlineStr">
        <is>
          <t>$25.00</t>
        </is>
      </c>
      <c r="D54" s="30" t="inlineStr">
        <is>
          <t>P = 1.5 / (0.09 - 0.03)</t>
        </is>
      </c>
    </row>
    <row r="55" ht="18" customHeight="1">
      <c r="B55" s="28" t="inlineStr">
        <is>
          <t>Q6 P/E</t>
        </is>
      </c>
      <c r="C55" s="29" t="inlineStr">
        <is>
          <t>$60.00</t>
        </is>
      </c>
      <c r="D55" s="30" t="inlineStr">
        <is>
          <t>P = 15 × 4</t>
        </is>
      </c>
    </row>
    <row r="56" ht="18" customHeight="1">
      <c r="B56" s="28" t="inlineStr">
        <is>
          <t>Q7 SGR</t>
        </is>
      </c>
      <c r="C56" s="29" t="inlineStr">
        <is>
          <t>12.0%</t>
        </is>
      </c>
      <c r="D56" s="30" t="inlineStr">
        <is>
          <t>SGR = 20% × (1 - 40%) = 20% × 60%</t>
        </is>
      </c>
    </row>
    <row r="57" ht="18" customHeight="1">
      <c r="B57" s="28" t="inlineStr">
        <is>
          <t>Q8 SGR</t>
        </is>
      </c>
      <c r="C57" s="29" t="inlineStr">
        <is>
          <t>10.5%</t>
        </is>
      </c>
      <c r="D57" s="30" t="inlineStr">
        <is>
          <t>SGR = 15% × 70%</t>
        </is>
      </c>
    </row>
    <row r="58" ht="18" customHeight="1">
      <c r="B58" s="28" t="inlineStr">
        <is>
          <t>MCQ1</t>
        </is>
      </c>
      <c r="C58" s="29" t="inlineStr">
        <is>
          <t>B</t>
        </is>
      </c>
      <c r="D58" s="30" t="inlineStr">
        <is>
          <t>r &gt; g required</t>
        </is>
      </c>
    </row>
    <row r="59" ht="18" customHeight="1">
      <c r="B59" s="28" t="inlineStr">
        <is>
          <t>MCQ2</t>
        </is>
      </c>
      <c r="C59" s="29" t="inlineStr">
        <is>
          <t>B</t>
        </is>
      </c>
      <c r="D59" s="30" t="inlineStr">
        <is>
          <t>ROE × retention ratio</t>
        </is>
      </c>
    </row>
    <row r="60" ht="18" customHeight="1">
      <c r="B60" s="28" t="inlineStr">
        <is>
          <t>MCQ3</t>
        </is>
      </c>
      <c r="C60" s="29" t="inlineStr">
        <is>
          <t>C</t>
        </is>
      </c>
      <c r="D60" s="30" t="inlineStr">
        <is>
          <t>Minority shareholders</t>
        </is>
      </c>
    </row>
    <row r="61" ht="18" customHeight="1">
      <c r="B61" s="28" t="inlineStr">
        <is>
          <t>MCQ4</t>
        </is>
      </c>
      <c r="C61" s="29" t="inlineStr">
        <is>
          <t>B</t>
        </is>
      </c>
      <c r="D61" s="30" t="inlineStr">
        <is>
          <t>P = D / r</t>
        </is>
      </c>
    </row>
  </sheetData>
  <mergeCells count="53">
    <mergeCell ref="D20:E20"/>
    <mergeCell ref="D60:E60"/>
    <mergeCell ref="D10:E10"/>
    <mergeCell ref="B33:E33"/>
    <mergeCell ref="D46:E46"/>
    <mergeCell ref="D22:E22"/>
    <mergeCell ref="D40:E40"/>
    <mergeCell ref="D36:E36"/>
    <mergeCell ref="D31:E31"/>
    <mergeCell ref="D45:E45"/>
    <mergeCell ref="D21:E21"/>
    <mergeCell ref="D6:E6"/>
    <mergeCell ref="D52:E52"/>
    <mergeCell ref="D11:E11"/>
    <mergeCell ref="D13:E13"/>
    <mergeCell ref="D27:E27"/>
    <mergeCell ref="D57:E57"/>
    <mergeCell ref="D61:E61"/>
    <mergeCell ref="B3:E3"/>
    <mergeCell ref="D41:E41"/>
    <mergeCell ref="D53:E53"/>
    <mergeCell ref="D16:E16"/>
    <mergeCell ref="B18:E18"/>
    <mergeCell ref="D7:E7"/>
    <mergeCell ref="D43:E43"/>
    <mergeCell ref="D37:E37"/>
    <mergeCell ref="B48:E48"/>
    <mergeCell ref="D28:E28"/>
    <mergeCell ref="D56:E56"/>
    <mergeCell ref="D58:E58"/>
    <mergeCell ref="D9:E9"/>
    <mergeCell ref="D12:E12"/>
    <mergeCell ref="D39:E39"/>
    <mergeCell ref="D8:E8"/>
    <mergeCell ref="D25:E25"/>
    <mergeCell ref="B1:E1"/>
    <mergeCell ref="D55:E55"/>
    <mergeCell ref="D24:E24"/>
    <mergeCell ref="D30:E30"/>
    <mergeCell ref="D42:E42"/>
    <mergeCell ref="D15:E15"/>
    <mergeCell ref="D29:E29"/>
    <mergeCell ref="D5:E5"/>
    <mergeCell ref="D23:E23"/>
    <mergeCell ref="D38:E38"/>
    <mergeCell ref="D51:E51"/>
    <mergeCell ref="D14:E14"/>
    <mergeCell ref="D54:E54"/>
    <mergeCell ref="D50:E50"/>
    <mergeCell ref="D26:E26"/>
    <mergeCell ref="D44:E44"/>
    <mergeCell ref="D59:E59"/>
    <mergeCell ref="D35:E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2026-03-22T00:15:16Z</dcterms:created>
  <dcterms:modified xsi:type="dcterms:W3CDTF">2026-03-22T00:15:16Z</dcterms:modified>
</cp:coreProperties>
</file>